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b8d95f9f5290f8a/Desktop/Law Cases/PLG/Castellanos v. Clearway Energy/LaborLens-/LaborLens/"/>
    </mc:Choice>
  </mc:AlternateContent>
  <xr:revisionPtr revIDLastSave="55" documentId="13_ncr:1_{48A9F600-9A8F-4137-8C65-AAFB399B7240}" xr6:coauthVersionLast="47" xr6:coauthVersionMax="47" xr10:uidLastSave="{484028BA-4F04-4D44-9ADF-CE85E090CF58}"/>
  <bookViews>
    <workbookView xWindow="17880" yWindow="555" windowWidth="35970" windowHeight="14790" activeTab="5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1" r:id="rId6"/>
    <sheet name="Roster" sheetId="12" r:id="rId7"/>
    <sheet name="Visualization" sheetId="7" r:id="rId8"/>
    <sheet name="Rest Periods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6" i="11" l="1"/>
  <c r="B23" i="11"/>
  <c r="B37" i="13"/>
  <c r="B38" i="13"/>
  <c r="B39" i="13"/>
  <c r="B40" i="13"/>
  <c r="B41" i="13"/>
  <c r="B36" i="13"/>
  <c r="C36" i="13" s="1"/>
  <c r="C41" i="13"/>
  <c r="C40" i="13"/>
  <c r="C39" i="13"/>
  <c r="C38" i="13"/>
  <c r="C37" i="13"/>
  <c r="C5" i="11"/>
  <c r="B5" i="11"/>
  <c r="C4" i="13"/>
  <c r="A8" i="11"/>
  <c r="F12" i="11"/>
  <c r="F3" i="11"/>
  <c r="C16" i="13" l="1"/>
  <c r="B16" i="13"/>
  <c r="B44" i="13"/>
  <c r="D44" i="13"/>
  <c r="B45" i="13"/>
  <c r="B51" i="13"/>
  <c r="B50" i="13"/>
  <c r="B49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C3" i="13" l="1"/>
  <c r="B5" i="13"/>
  <c r="C5" i="13" s="1"/>
  <c r="A20" i="11" s="1"/>
  <c r="C26" i="11" s="1"/>
  <c r="D26" i="11" s="1"/>
  <c r="A14" i="11"/>
  <c r="A17" i="11"/>
  <c r="C23" i="11" s="1"/>
  <c r="D23" i="11" s="1"/>
  <c r="E23" i="11" s="1"/>
  <c r="C21" i="13"/>
  <c r="C25" i="13"/>
  <c r="C23" i="13"/>
  <c r="D22" i="13"/>
  <c r="C22" i="13" s="1"/>
  <c r="E7" i="9"/>
  <c r="E26" i="11" l="1"/>
  <c r="F26" i="11" s="1"/>
  <c r="F23" i="11"/>
  <c r="G2" i="12"/>
  <c r="F2" i="12"/>
  <c r="L8" i="2"/>
  <c r="B13" i="13" s="1"/>
  <c r="C13" i="13" s="1"/>
  <c r="L22" i="2"/>
  <c r="I9" i="2"/>
  <c r="L5" i="2"/>
  <c r="B8" i="11" l="1"/>
  <c r="A5" i="11"/>
  <c r="L7" i="2"/>
  <c r="B20" i="11"/>
  <c r="C20" i="11" s="1"/>
  <c r="C14" i="11"/>
  <c r="C17" i="11"/>
  <c r="D20" i="11" l="1"/>
  <c r="L12" i="2" l="1"/>
  <c r="L63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D5" i="11" l="1"/>
  <c r="E5" i="11"/>
  <c r="L54" i="2"/>
  <c r="L53" i="2"/>
  <c r="L38" i="2"/>
  <c r="L37" i="2"/>
  <c r="F5" i="11" l="1"/>
  <c r="G5" i="11" s="1"/>
  <c r="H5" i="11" s="1"/>
  <c r="L3" i="2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C8" i="11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  <c r="D17" i="11" l="1"/>
  <c r="B14" i="11"/>
  <c r="E17" i="11" l="1"/>
  <c r="F17" i="11" s="1"/>
  <c r="D14" i="11"/>
  <c r="D1" i="11"/>
  <c r="E14" i="11" l="1"/>
  <c r="F14" i="11" s="1"/>
  <c r="B28" i="11" s="1"/>
</calcChain>
</file>

<file path=xl/sharedStrings.xml><?xml version="1.0" encoding="utf-8"?>
<sst xmlns="http://schemas.openxmlformats.org/spreadsheetml/2006/main" count="307" uniqueCount="257">
  <si>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</si>
  <si>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</si>
  <si>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</si>
  <si>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</si>
  <si>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</si>
  <si>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</si>
  <si>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</si>
  <si>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</si>
  <si>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</si>
  <si>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</si>
  <si>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</si>
  <si>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</si>
  <si>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</si>
  <si>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</si>
  <si>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</si>
  <si>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</si>
  <si>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</si>
  <si>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</si>
  <si>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</si>
  <si>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</si>
  <si>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</si>
  <si>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</si>
  <si>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</si>
  <si>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</si>
  <si>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</si>
  <si>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</si>
  <si>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</si>
  <si>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</si>
  <si>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</si>
  <si>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</si>
  <si>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</si>
  <si>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</si>
  <si>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</si>
  <si>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</si>
  <si>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</si>
  <si>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</si>
  <si>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</si>
  <si>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</si>
  <si>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</si>
  <si>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</si>
  <si>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</si>
  <si>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</si>
  <si>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</si>
  <si>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</si>
  <si>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</si>
  <si>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</si>
  <si>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</si>
  <si>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</si>
  <si>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</si>
  <si>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</si>
  <si>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</si>
  <si>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</si>
  <si>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</si>
  <si>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</si>
  <si>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</si>
  <si>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</si>
  <si>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</si>
  <si>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</si>
  <si>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</si>
  <si>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</si>
  <si>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</si>
  <si>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</si>
  <si>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</si>
  <si>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</si>
  <si>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</si>
  <si>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</si>
  <si>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</si>
  <si>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</si>
  <si>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</si>
  <si>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</si>
  <si>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</si>
  <si>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</si>
  <si>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</si>
  <si>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</si>
  <si>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</si>
  <si>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</si>
  <si>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</si>
  <si>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</si>
  <si>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</si>
  <si>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</si>
  <si>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</si>
  <si>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</si>
  <si>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</si>
  <si>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</si>
  <si>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</si>
  <si>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</si>
  <si>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</si>
  <si>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</si>
  <si>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</si>
  <si>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</si>
  <si>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</si>
  <si>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</si>
  <si>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</si>
  <si>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</si>
  <si>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</si>
  <si>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</si>
  <si>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</si>
  <si>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</si>
  <si>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</si>
  <si>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</si>
  <si>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</si>
  <si>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</si>
  <si>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</si>
  <si>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</si>
  <si>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</si>
  <si>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</si>
  <si>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</si>
  <si>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</si>
  <si>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</si>
  <si>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</si>
  <si>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</si>
  <si>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</si>
  <si>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</si>
  <si>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</si>
  <si>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</si>
  <si>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</si>
  <si>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</si>
  <si>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</si>
  <si>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</si>
  <si>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</si>
  <si>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</si>
  <si>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</si>
  <si>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</si>
  <si>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</si>
  <si>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</si>
  <si>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</si>
  <si>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</si>
  <si>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</si>
  <si>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</si>
  <si>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</si>
  <si>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</si>
  <si>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</si>
  <si>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</si>
  <si>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</si>
  <si>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</si>
  <si>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</si>
  <si>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</si>
  <si>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</si>
  <si>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</si>
  <si>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</si>
  <si>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</si>
  <si>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</si>
  <si>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</si>
  <si>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</si>
  <si>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</si>
  <si>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</si>
  <si>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</si>
  <si>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</si>
  <si>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</si>
  <si>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</si>
  <si>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</si>
  <si>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</si>
  <si>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</si>
  <si>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</si>
  <si>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</si>
  <si>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</si>
  <si>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</si>
  <si>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</si>
  <si>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</si>
  <si>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</si>
  <si>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</si>
  <si>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</si>
  <si>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</si>
  <si>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</si>
  <si>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</si>
  <si>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</si>
  <si>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</si>
  <si>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</si>
  <si>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</si>
  <si>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</si>
  <si>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</si>
  <si>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</si>
  <si>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</si>
  <si>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</si>
  <si>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</si>
  <si>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</si>
  <si>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</si>
  <si>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</si>
  <si>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</si>
  <si>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</si>
  <si>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</si>
  <si>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</si>
  <si>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</si>
  <si>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</si>
  <si>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</si>
  <si>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</si>
  <si>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</si>
  <si>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</si>
  <si>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</si>
  <si>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</si>
  <si>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</si>
  <si>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</si>
  <si>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</si>
  <si>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</si>
  <si>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</si>
  <si>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Total Amount</t>
  </si>
  <si>
    <t>Total Paid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</si>
  <si>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</si>
  <si>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</si>
  <si>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</si>
  <si>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</si>
  <si>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</si>
  <si>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</si>
  <si>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</si>
  <si>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</si>
  <si>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</si>
  <si>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</si>
  <si>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</si>
  <si>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</si>
  <si>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</si>
  <si>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</si>
  <si>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</si>
  <si>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</si>
  <si>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</si>
  <si>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</si>
  <si>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</si>
  <si>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</si>
  <si>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</si>
  <si>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</si>
  <si>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</si>
  <si>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</si>
  <si>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</si>
  <si>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</si>
  <si>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pay records</t>
  </si>
  <si>
    <t xml:space="preserve">Regular Rate - Meal Premiums 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</si>
  <si>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</si>
  <si>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</si>
  <si>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</si>
  <si>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</si>
  <si>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</si>
  <si>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</si>
  <si>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</si>
  <si>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</si>
  <si>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</si>
  <si>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</si>
  <si>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</si>
  <si>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</si>
  <si>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</si>
  <si>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</si>
  <si>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</si>
  <si>
    <t>Time Range of Data
Class Start: x/xx/xx</t>
  </si>
  <si>
    <t>PAGA Periods from time data
(xx/xx/xx - xx/xx/xx)</t>
  </si>
  <si>
    <t>Section 4: Shift Durations</t>
  </si>
  <si>
    <t>Shift Greater Than</t>
  </si>
  <si>
    <t>3.5 Hours</t>
  </si>
  <si>
    <t>5 Hours</t>
  </si>
  <si>
    <t>6 Hours</t>
  </si>
  <si>
    <t>8 Hours</t>
  </si>
  <si>
    <t>10 Hours</t>
  </si>
  <si>
    <t>12 Hours</t>
  </si>
  <si>
    <t>Section 5: Meal Premiums</t>
  </si>
  <si>
    <t>Section 6: Rest Break Violation Summary</t>
  </si>
  <si>
    <t>Section 3: Meal Violation Rates</t>
  </si>
  <si>
    <t>L.C. §2699(f) Penalties</t>
  </si>
  <si>
    <t>Average Rate of Pay (2026)</t>
  </si>
  <si>
    <t>Average Rate of Pay (2020 - 2026)</t>
  </si>
  <si>
    <t>Average OT Rate (2020 - 2026)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</si>
</sst>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  <numFmt numFmtId="167" formatCode="&quot;$&quot;#,##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67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  <xf numFmtId="1" fontId="25" fillId="0" borderId="0" xfId="0" applyNumberFormat="1" applyFont="1" applyAlignment="1">
      <alignment vertical="center"/>
    </xf>
    <xf numFmtId="167" fontId="19" fillId="0" borderId="0" xfId="0" applyNumberFormat="1" applyFont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  <xf numFmtId="0" fontId="24" fillId="21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167" fontId="19" fillId="0" borderId="0" xfId="0" applyNumberFormat="1" applyFont="1"/>
    <xf numFmtId="167" fontId="10" fillId="0" borderId="20" xfId="0" applyNumberFormat="1" applyFont="1" applyBorder="1" applyAlignment="1">
      <alignment horizontal="left" vertical="center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Relationship Id="rId1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Analysis"/>
      <sheetName val="Summary"/>
      <sheetName val="Class Damages"/>
      <sheetName val="RegularRate"/>
      <sheetName val="Pay Analysis"/>
      <sheetName val="Pay by Emp"/>
      <sheetName val="PAGA"/>
      <sheetName val="Rest Periods"/>
      <sheetName val="Roster"/>
      <sheetName val="Rounding"/>
      <sheetName val="Overtime"/>
      <sheetName val="Visualization"/>
      <sheetName val="Total Periods"/>
    </sheetNames>
    <sheetDataSet>
      <sheetData sheetId="0"/>
      <sheetData sheetId="1">
        <row r="14">
          <cell r="C14">
            <v>4280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57">
          <cell r="I1157">
            <v>5126.9799999999996</v>
          </cell>
          <cell r="J1157">
            <v>11162.420000000029</v>
          </cell>
        </row>
      </sheetData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zoomScaleNormal="100" workbookViewId="0">
      <pane xSplit="5" ySplit="11" topLeftCell="F12" activePane="bottomRight" state="frozen"/>
      <selection pane="topRight" activeCell="F1" sqref="F1"/>
      <selection pane="bottomLeft" activeCell="A12" sqref="A12"/>
      <selection pane="bottomRight" activeCell="L6" sqref="L6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9.285156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2" t="s">
        <v>87</v>
      </c>
      <c r="B1" s="112" t="s">
        <v>88</v>
      </c>
      <c r="C1" s="112" t="s">
        <v>89</v>
      </c>
      <c r="D1" s="112" t="s">
        <v>90</v>
      </c>
      <c r="E1" s="112" t="s">
        <v>112</v>
      </c>
      <c r="F1" s="112" t="s">
        <v>113</v>
      </c>
      <c r="G1" s="112" t="s">
        <v>110</v>
      </c>
      <c r="H1" s="112" t="s">
        <v>91</v>
      </c>
      <c r="I1" s="113" t="s">
        <v>86</v>
      </c>
      <c r="J1" s="10"/>
      <c r="K1" s="4" t="s">
        <v>0</v>
      </c>
      <c r="L1" s="13" t="s">
        <v>83</v>
      </c>
    </row>
    <row r="2" spans="1:13" x14ac:dyDescent="0.25">
      <c r="A2" s="86" t="s">
        <v>111</v>
      </c>
      <c r="B2" s="86">
        <v>3437</v>
      </c>
      <c r="C2" s="86">
        <v>36</v>
      </c>
      <c r="D2" s="86">
        <v>218</v>
      </c>
      <c r="E2" s="86">
        <v>3691</v>
      </c>
      <c r="F2" s="86">
        <v>0</v>
      </c>
      <c r="G2" s="86">
        <v>3691</v>
      </c>
      <c r="H2" s="86">
        <v>5830</v>
      </c>
      <c r="I2" s="87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6" t="s">
        <v>92</v>
      </c>
      <c r="B3" s="86">
        <v>964</v>
      </c>
      <c r="C3" s="86">
        <v>1067</v>
      </c>
      <c r="D3" s="86">
        <v>559</v>
      </c>
      <c r="E3" s="86">
        <v>2590</v>
      </c>
      <c r="F3" s="86">
        <v>0</v>
      </c>
      <c r="G3" s="86">
        <v>2590</v>
      </c>
      <c r="H3" s="86">
        <v>7741</v>
      </c>
      <c r="I3" s="87">
        <f>Table2[[#This Row],[Total Violations]]/Table2[[#This Row],[Total Shifts]]</f>
        <v>0.33458209533651984</v>
      </c>
      <c r="J3" s="20"/>
      <c r="K3" s="6" t="s">
        <v>84</v>
      </c>
      <c r="L3" s="14" t="str">
        <f>TEXT(A24, "mm/dd/yy") &amp; " - " &amp; TEXT(B24, "mm/dd/yy")</f>
        <v>07/05/15 - 11/17/19</v>
      </c>
    </row>
    <row r="4" spans="1:13" x14ac:dyDescent="0.25">
      <c r="A4" s="86" t="s">
        <v>93</v>
      </c>
      <c r="B4" s="86">
        <v>1</v>
      </c>
      <c r="C4" s="86">
        <v>8</v>
      </c>
      <c r="D4" s="86">
        <v>0</v>
      </c>
      <c r="E4" s="86">
        <v>9</v>
      </c>
      <c r="F4" s="86">
        <v>12</v>
      </c>
      <c r="G4" s="86">
        <v>13</v>
      </c>
      <c r="H4" s="86">
        <v>14</v>
      </c>
      <c r="I4" s="87">
        <f>Table2[[#This Row],[Total Violations]]/Table2[[#This Row],[Total Shifts]]</f>
        <v>0.9285714285714286</v>
      </c>
      <c r="J4" s="20"/>
      <c r="K4" s="6" t="s">
        <v>76</v>
      </c>
      <c r="L4" s="15">
        <f>H12</f>
        <v>5785</v>
      </c>
    </row>
    <row r="5" spans="1:13" x14ac:dyDescent="0.25">
      <c r="A5" s="88"/>
      <c r="B5" s="88"/>
      <c r="C5" s="88"/>
      <c r="D5" s="88"/>
      <c r="E5" s="88"/>
      <c r="F5" s="88"/>
      <c r="G5" s="88"/>
      <c r="H5" s="88"/>
      <c r="I5" s="88"/>
      <c r="K5" s="6" t="s">
        <v>127</v>
      </c>
      <c r="L5" s="58">
        <f>F21</f>
        <v>5</v>
      </c>
    </row>
    <row r="6" spans="1:13" x14ac:dyDescent="0.25">
      <c r="A6" s="86" t="s">
        <v>94</v>
      </c>
      <c r="B6" s="86">
        <v>4250</v>
      </c>
      <c r="C6" s="86">
        <v>1106</v>
      </c>
      <c r="D6" s="86">
        <v>771</v>
      </c>
      <c r="E6" s="86">
        <v>6127</v>
      </c>
      <c r="F6" s="86">
        <v>16</v>
      </c>
      <c r="G6" s="86">
        <v>6134</v>
      </c>
      <c r="H6" s="86">
        <v>18310</v>
      </c>
      <c r="I6" s="118">
        <f>Table2[[#This Row],[Total Violations]]/Table2[[#This Row],[Total Shifts]]</f>
        <v>0.33500819224467504</v>
      </c>
      <c r="J6" s="20"/>
      <c r="K6" s="6" t="s">
        <v>150</v>
      </c>
      <c r="L6" s="101">
        <f>L4/L5</f>
        <v>1157</v>
      </c>
    </row>
    <row r="7" spans="1:13" x14ac:dyDescent="0.25">
      <c r="A7" s="86" t="s">
        <v>95</v>
      </c>
      <c r="B7" s="86">
        <v>4250</v>
      </c>
      <c r="C7" s="86">
        <v>1106</v>
      </c>
      <c r="D7" s="86">
        <v>771</v>
      </c>
      <c r="E7" s="86">
        <v>6127</v>
      </c>
      <c r="F7" s="86">
        <v>16</v>
      </c>
      <c r="G7" s="86">
        <v>6134</v>
      </c>
      <c r="H7" s="86">
        <v>13332</v>
      </c>
      <c r="I7" s="118">
        <f>Table2[[#This Row],[Total Violations]]/Table2[[#This Row],[Total Shifts]]</f>
        <v>0.46009600960096009</v>
      </c>
      <c r="J7" s="20"/>
      <c r="K7" s="6" t="s">
        <v>151</v>
      </c>
      <c r="L7" s="101">
        <f>E21</f>
        <v>0</v>
      </c>
    </row>
    <row r="8" spans="1:13" ht="24.75" x14ac:dyDescent="0.25">
      <c r="A8" s="86" t="s">
        <v>96</v>
      </c>
      <c r="B8" s="86">
        <v>965</v>
      </c>
      <c r="C8" s="86">
        <v>1076</v>
      </c>
      <c r="D8" s="86">
        <v>559</v>
      </c>
      <c r="E8" s="86">
        <v>2600</v>
      </c>
      <c r="F8" s="86">
        <v>16</v>
      </c>
      <c r="G8" s="86">
        <v>2607</v>
      </c>
      <c r="H8" s="86">
        <v>7760</v>
      </c>
      <c r="I8" s="118">
        <f>Table2[[#This Row],[Total Violations]]/Table2[[#This Row],[Total Shifts]]</f>
        <v>0.33595360824742271</v>
      </c>
      <c r="J8" s="20"/>
      <c r="K8" s="6" t="s">
        <v>241</v>
      </c>
      <c r="L8" s="58">
        <f>LOOKUP(1000000, PAGA!A2:'PAGA'!DZ2, PAGA!A2:'PAGA'!DZ2)</f>
        <v>222</v>
      </c>
    </row>
    <row r="9" spans="1:13" x14ac:dyDescent="0.25">
      <c r="A9" s="86" t="s">
        <v>156</v>
      </c>
      <c r="B9" s="86"/>
      <c r="C9" s="86"/>
      <c r="D9" s="86"/>
      <c r="E9" s="86"/>
      <c r="F9" s="86"/>
      <c r="G9" s="86"/>
      <c r="H9" s="86"/>
      <c r="I9" s="118" t="e">
        <f>Table2[[#This Row],[Total Violations]]/Table2[[#This Row],[Total Shifts]]</f>
        <v>#DIV/0!</v>
      </c>
      <c r="J9" s="20"/>
      <c r="K9" s="6" t="s">
        <v>2</v>
      </c>
      <c r="L9" s="59">
        <f>'Pay Analysis'!B17</f>
        <v>15</v>
      </c>
    </row>
    <row r="10" spans="1:13" x14ac:dyDescent="0.25">
      <c r="A10" s="86" t="s">
        <v>97</v>
      </c>
      <c r="B10" s="86">
        <v>1</v>
      </c>
      <c r="C10" s="86">
        <v>9</v>
      </c>
      <c r="D10" s="86">
        <v>0</v>
      </c>
      <c r="E10" s="86">
        <v>10</v>
      </c>
      <c r="F10" s="86">
        <v>16</v>
      </c>
      <c r="G10" s="86">
        <v>17</v>
      </c>
      <c r="H10" s="86">
        <v>19</v>
      </c>
      <c r="I10" s="118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6" t="s">
        <v>98</v>
      </c>
      <c r="B11" s="86">
        <v>0</v>
      </c>
      <c r="C11" s="86">
        <v>1</v>
      </c>
      <c r="D11" s="86">
        <v>0</v>
      </c>
      <c r="E11" s="86">
        <v>1</v>
      </c>
      <c r="F11" s="86">
        <v>4</v>
      </c>
      <c r="G11" s="86">
        <v>4</v>
      </c>
      <c r="H11" s="86">
        <v>5</v>
      </c>
      <c r="I11" s="118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6"/>
      <c r="B12" s="86"/>
      <c r="C12" s="86"/>
      <c r="D12" s="86"/>
      <c r="E12" s="86"/>
      <c r="F12" s="86"/>
      <c r="G12" s="86"/>
      <c r="H12" s="86">
        <v>5785</v>
      </c>
      <c r="I12" s="87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4" t="s">
        <v>87</v>
      </c>
      <c r="B14" s="114" t="s">
        <v>99</v>
      </c>
      <c r="C14" s="114" t="s">
        <v>152</v>
      </c>
      <c r="D14" s="114" t="s">
        <v>100</v>
      </c>
      <c r="K14" s="6" t="s">
        <v>5</v>
      </c>
      <c r="L14" s="14"/>
    </row>
    <row r="15" spans="1:13" x14ac:dyDescent="0.25">
      <c r="A15" s="86" t="s">
        <v>93</v>
      </c>
      <c r="B15" s="86">
        <v>0</v>
      </c>
      <c r="C15" s="86">
        <v>0</v>
      </c>
      <c r="D15" s="86">
        <v>12</v>
      </c>
      <c r="K15" s="7" t="s">
        <v>6</v>
      </c>
      <c r="L15" s="14"/>
      <c r="M15" s="3"/>
    </row>
    <row r="16" spans="1:13" x14ac:dyDescent="0.25">
      <c r="A16" s="86" t="s">
        <v>97</v>
      </c>
      <c r="B16" s="100">
        <v>0</v>
      </c>
      <c r="C16" s="86">
        <v>0</v>
      </c>
      <c r="D16" s="86">
        <v>16</v>
      </c>
      <c r="K16" s="7" t="s">
        <v>7</v>
      </c>
      <c r="L16" s="14"/>
    </row>
    <row r="17" spans="1:14" x14ac:dyDescent="0.25">
      <c r="A17" s="86" t="s">
        <v>98</v>
      </c>
      <c r="B17" s="86">
        <v>0</v>
      </c>
      <c r="C17" s="86">
        <v>0</v>
      </c>
      <c r="D17" s="86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104</v>
      </c>
      <c r="B20" s="53" t="s">
        <v>105</v>
      </c>
      <c r="C20" s="53" t="s">
        <v>106</v>
      </c>
      <c r="D20" s="53" t="s">
        <v>130</v>
      </c>
      <c r="E20" s="53"/>
      <c r="F20" s="53"/>
      <c r="G20" s="53"/>
      <c r="K20" s="6" t="s">
        <v>126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2"/>
      <c r="F21" s="119">
        <v>5</v>
      </c>
      <c r="G21" s="119"/>
      <c r="K21" s="6" t="s">
        <v>19</v>
      </c>
      <c r="L21" s="51">
        <f>C21</f>
        <v>1842</v>
      </c>
    </row>
    <row r="22" spans="1:14" x14ac:dyDescent="0.25">
      <c r="B22" s="11"/>
      <c r="K22" s="6" t="s">
        <v>154</v>
      </c>
      <c r="L22" s="51">
        <f>G21</f>
        <v>0</v>
      </c>
    </row>
    <row r="23" spans="1:14" ht="28.5" customHeight="1" x14ac:dyDescent="0.25">
      <c r="A23" s="52" t="s">
        <v>107</v>
      </c>
      <c r="B23" s="53" t="s">
        <v>108</v>
      </c>
      <c r="K23" s="6" t="s">
        <v>155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129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5" t="s">
        <v>87</v>
      </c>
      <c r="B26" s="116" t="s">
        <v>88</v>
      </c>
      <c r="C26" s="117" t="s">
        <v>89</v>
      </c>
      <c r="D26" s="117" t="s">
        <v>90</v>
      </c>
      <c r="E26" s="117" t="s">
        <v>112</v>
      </c>
      <c r="F26" s="117" t="s">
        <v>113</v>
      </c>
      <c r="K26" s="6" t="s">
        <v>10</v>
      </c>
      <c r="L26" s="60"/>
      <c r="N26" s="11"/>
    </row>
    <row r="27" spans="1:14" x14ac:dyDescent="0.25">
      <c r="A27" s="89" t="s">
        <v>111</v>
      </c>
      <c r="B27" s="90">
        <f>B2/H2</f>
        <v>0.58953687821612355</v>
      </c>
      <c r="C27" s="90">
        <f>C2/H2</f>
        <v>6.1749571183533445E-3</v>
      </c>
      <c r="D27" s="90">
        <f>D2/H2</f>
        <v>3.7392795883361918E-2</v>
      </c>
      <c r="E27" s="90">
        <f>E2/H2</f>
        <v>0.63310463121783878</v>
      </c>
      <c r="F27" s="91">
        <f>F2/H2</f>
        <v>0</v>
      </c>
      <c r="K27" s="7" t="s">
        <v>11</v>
      </c>
      <c r="L27" s="14"/>
      <c r="N27" s="11"/>
    </row>
    <row r="28" spans="1:14" x14ac:dyDescent="0.25">
      <c r="A28" s="92" t="s">
        <v>92</v>
      </c>
      <c r="B28" s="93">
        <f>B3/H3</f>
        <v>0.12453171424880506</v>
      </c>
      <c r="C28" s="93">
        <f>C3/H3</f>
        <v>0.13783748869655083</v>
      </c>
      <c r="D28" s="93">
        <f>D3/H3</f>
        <v>7.2212892391163935E-2</v>
      </c>
      <c r="E28" s="93">
        <f>E3/H3</f>
        <v>0.33458209533651984</v>
      </c>
      <c r="F28" s="94">
        <f>F3/H3</f>
        <v>0</v>
      </c>
      <c r="K28" s="7" t="s">
        <v>12</v>
      </c>
      <c r="L28" s="14"/>
      <c r="N28" s="11"/>
    </row>
    <row r="29" spans="1:14" x14ac:dyDescent="0.25">
      <c r="A29" s="89" t="s">
        <v>93</v>
      </c>
      <c r="B29" s="90">
        <f>B4/H4</f>
        <v>7.1428571428571425E-2</v>
      </c>
      <c r="C29" s="90">
        <f>C4/H4</f>
        <v>0.5714285714285714</v>
      </c>
      <c r="D29" s="90">
        <f>D4/H4</f>
        <v>0</v>
      </c>
      <c r="E29" s="90">
        <f>E4/H4</f>
        <v>0.6428571428571429</v>
      </c>
      <c r="F29" s="95">
        <f>F4/H4</f>
        <v>0.8571428571428571</v>
      </c>
      <c r="K29" s="7" t="s">
        <v>109</v>
      </c>
      <c r="L29" s="14"/>
      <c r="N29" s="11"/>
    </row>
    <row r="30" spans="1:14" x14ac:dyDescent="0.25">
      <c r="A30" s="96"/>
      <c r="B30" s="97"/>
      <c r="C30" s="97"/>
      <c r="D30" s="97"/>
      <c r="E30" s="97"/>
      <c r="F30" s="97"/>
      <c r="K30" s="7" t="s">
        <v>13</v>
      </c>
      <c r="L30" s="14"/>
      <c r="N30" s="11"/>
    </row>
    <row r="31" spans="1:14" x14ac:dyDescent="0.25">
      <c r="A31" s="89" t="s">
        <v>94</v>
      </c>
      <c r="B31" s="90">
        <f>B6/H6</f>
        <v>0.23211359912616056</v>
      </c>
      <c r="C31" s="90">
        <f>C6/H6</f>
        <v>6.0404150737302022E-2</v>
      </c>
      <c r="D31" s="90">
        <f>D6/H6</f>
        <v>4.2108137629710538E-2</v>
      </c>
      <c r="E31" s="90">
        <f>E6/H6</f>
        <v>0.33462588749317312</v>
      </c>
      <c r="F31" s="98">
        <f>F6/H6</f>
        <v>8.7383943200436919E-4</v>
      </c>
      <c r="K31" s="5"/>
      <c r="L31" s="12"/>
      <c r="N31" s="11"/>
    </row>
    <row r="32" spans="1:14" x14ac:dyDescent="0.25">
      <c r="A32" s="99" t="s">
        <v>95</v>
      </c>
      <c r="B32" s="93">
        <f>B7/H7</f>
        <v>0.31878187818781878</v>
      </c>
      <c r="C32" s="93">
        <f>C7/H7</f>
        <v>8.2958295829582959E-2</v>
      </c>
      <c r="D32" s="93">
        <f>D7/H7</f>
        <v>5.7830783078307829E-2</v>
      </c>
      <c r="E32" s="93">
        <f>E7/H7</f>
        <v>0.45957095709570955</v>
      </c>
      <c r="F32" s="94">
        <f>F7/H7</f>
        <v>1.2001200120012002E-3</v>
      </c>
      <c r="K32" s="9" t="s">
        <v>103</v>
      </c>
      <c r="L32" s="12"/>
      <c r="N32" s="11"/>
    </row>
    <row r="33" spans="1:14" x14ac:dyDescent="0.25">
      <c r="A33" s="89" t="s">
        <v>96</v>
      </c>
      <c r="B33" s="90">
        <f>B8/H8</f>
        <v>0.12435567010309279</v>
      </c>
      <c r="C33" s="90">
        <f>C8/H8</f>
        <v>0.138659793814433</v>
      </c>
      <c r="D33" s="90">
        <f>D8/H8</f>
        <v>7.2036082474226798E-2</v>
      </c>
      <c r="E33" s="90">
        <f>E8/H8</f>
        <v>0.33505154639175255</v>
      </c>
      <c r="F33" s="91">
        <f>F8/H8</f>
        <v>2.0618556701030928E-3</v>
      </c>
      <c r="K33" s="49" t="s">
        <v>77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2" t="s">
        <v>97</v>
      </c>
      <c r="B34" s="93">
        <f t="shared" ref="B34:B35" si="0">B10/H10</f>
        <v>5.2631578947368418E-2</v>
      </c>
      <c r="C34" s="93">
        <f t="shared" ref="C34:C35" si="1">C10/H10</f>
        <v>0.47368421052631576</v>
      </c>
      <c r="D34" s="93">
        <f t="shared" ref="D34:D35" si="2">D10/H10</f>
        <v>0</v>
      </c>
      <c r="E34" s="93">
        <f t="shared" ref="E34:E35" si="3">E10/H10</f>
        <v>0.52631578947368418</v>
      </c>
      <c r="F34" s="94">
        <f t="shared" ref="F34:F35" si="4">F10/H10</f>
        <v>0.84210526315789469</v>
      </c>
      <c r="K34" s="6" t="s">
        <v>78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89" t="s">
        <v>98</v>
      </c>
      <c r="B35" s="90">
        <f t="shared" si="0"/>
        <v>0</v>
      </c>
      <c r="C35" s="90">
        <f t="shared" si="1"/>
        <v>0.2</v>
      </c>
      <c r="D35" s="90">
        <f t="shared" si="2"/>
        <v>0</v>
      </c>
      <c r="E35" s="90">
        <f t="shared" si="3"/>
        <v>0.2</v>
      </c>
      <c r="F35" s="91">
        <f t="shared" si="4"/>
        <v>0.8</v>
      </c>
      <c r="K35" s="6" t="s">
        <v>79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99"/>
      <c r="B36" s="93"/>
      <c r="C36" s="93"/>
      <c r="D36" s="93"/>
      <c r="E36" s="93"/>
      <c r="F36" s="94"/>
      <c r="K36" s="6" t="s">
        <v>80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131</v>
      </c>
      <c r="B37" s="64" t="s">
        <v>132</v>
      </c>
      <c r="C37" s="64" t="s">
        <v>133</v>
      </c>
      <c r="D37" s="64" t="s">
        <v>134</v>
      </c>
      <c r="E37" s="64" t="s">
        <v>135</v>
      </c>
      <c r="F37" s="65" t="s">
        <v>136</v>
      </c>
      <c r="G37" s="65" t="s">
        <v>137</v>
      </c>
      <c r="H37" s="65" t="s">
        <v>138</v>
      </c>
      <c r="I37" s="106"/>
      <c r="K37" s="6" t="s">
        <v>114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7"/>
      <c r="K38" s="6" t="s">
        <v>115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3"/>
      <c r="B39" s="104"/>
      <c r="C39" s="104"/>
      <c r="D39" s="104"/>
      <c r="E39" s="104"/>
      <c r="F39" s="104"/>
      <c r="G39" s="104"/>
      <c r="H39" s="104"/>
      <c r="I39" s="105" t="s">
        <v>102</v>
      </c>
      <c r="K39" s="6" t="s">
        <v>116</v>
      </c>
      <c r="L39" s="15">
        <f>G7</f>
        <v>6134</v>
      </c>
      <c r="M39" s="69">
        <f t="shared" si="5"/>
        <v>0.46009600960096009</v>
      </c>
      <c r="N39" s="11"/>
    </row>
    <row r="40" spans="1:14" x14ac:dyDescent="0.25">
      <c r="K40" s="6"/>
      <c r="L40" s="58"/>
      <c r="M40" s="69"/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x14ac:dyDescent="0.25">
      <c r="K47" s="6"/>
      <c r="L47" s="15"/>
      <c r="M47" s="70"/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117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118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119</v>
      </c>
      <c r="L55" s="15">
        <f>G8</f>
        <v>2607</v>
      </c>
      <c r="M55" s="70">
        <f t="shared" si="7"/>
        <v>0.33595360824742271</v>
      </c>
      <c r="N55" s="11"/>
    </row>
    <row r="56" spans="11:14" x14ac:dyDescent="0.25">
      <c r="K56" s="6"/>
      <c r="L56" s="58"/>
      <c r="M56" s="70"/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81</v>
      </c>
      <c r="L63" s="15">
        <f>E38</f>
        <v>306</v>
      </c>
      <c r="M63" s="70">
        <f>L63/L8</f>
        <v>1.3783783783783783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75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x14ac:dyDescent="0.25">
      <c r="K73" s="6"/>
      <c r="L73" s="15"/>
      <c r="M73" s="70"/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41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42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43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44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45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46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47</v>
      </c>
      <c r="L82" s="15">
        <f>L79+L80+L81</f>
        <v>12</v>
      </c>
      <c r="M82" s="70">
        <f t="shared" si="10"/>
        <v>1.5463917525773195E-3</v>
      </c>
      <c r="N82" s="11"/>
    </row>
    <row r="83" spans="11:17" x14ac:dyDescent="0.25">
      <c r="K83" s="6"/>
      <c r="L83" s="15"/>
      <c r="M83" s="70"/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48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49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50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51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52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53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54</v>
      </c>
      <c r="L92" s="14">
        <f>L89+L90+L91</f>
        <v>4</v>
      </c>
      <c r="M92" s="70">
        <f t="shared" si="11"/>
        <v>5.1546391752577321E-4</v>
      </c>
      <c r="N92" s="11"/>
    </row>
    <row r="93" spans="11:17" x14ac:dyDescent="0.25">
      <c r="K93" s="6"/>
      <c r="L93" s="14"/>
      <c r="M93" s="70"/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55</v>
      </c>
      <c r="L96" s="14"/>
      <c r="N96" s="11"/>
    </row>
    <row r="97" spans="11:14" x14ac:dyDescent="0.25">
      <c r="K97" s="7" t="s">
        <v>56</v>
      </c>
      <c r="L97" s="14"/>
      <c r="N97" s="11"/>
    </row>
    <row r="98" spans="11:14" x14ac:dyDescent="0.25">
      <c r="K98" s="7" t="s">
        <v>57</v>
      </c>
      <c r="L98" s="14"/>
      <c r="N98" s="11"/>
    </row>
    <row r="99" spans="11:14" x14ac:dyDescent="0.25">
      <c r="K99" s="7" t="s">
        <v>58</v>
      </c>
      <c r="L99" s="14"/>
      <c r="N99" s="11"/>
    </row>
    <row r="100" spans="11:14" x14ac:dyDescent="0.25">
      <c r="K100" s="7" t="s">
        <v>59</v>
      </c>
      <c r="L100" s="14"/>
      <c r="N100" s="11"/>
    </row>
    <row r="101" spans="11:14" x14ac:dyDescent="0.25">
      <c r="K101" s="6" t="s">
        <v>60</v>
      </c>
      <c r="L101" s="14"/>
      <c r="N101" s="11"/>
    </row>
    <row r="102" spans="11:14" ht="24.75" x14ac:dyDescent="0.25">
      <c r="K102" s="6" t="s">
        <v>61</v>
      </c>
      <c r="L102" s="14"/>
      <c r="N102" s="11"/>
    </row>
    <row r="103" spans="11:14" x14ac:dyDescent="0.25">
      <c r="K103" s="6" t="s">
        <v>62</v>
      </c>
      <c r="L103" s="14"/>
      <c r="N103" s="11"/>
    </row>
    <row r="104" spans="11:14" ht="24.75" x14ac:dyDescent="0.25">
      <c r="K104" s="6" t="s">
        <v>63</v>
      </c>
      <c r="L104" s="14"/>
      <c r="N104" s="11"/>
    </row>
    <row r="105" spans="11:14" x14ac:dyDescent="0.25">
      <c r="K105" s="6" t="s">
        <v>64</v>
      </c>
      <c r="L105" s="14"/>
      <c r="N105" s="11"/>
    </row>
    <row r="106" spans="11:14" ht="24.75" x14ac:dyDescent="0.25">
      <c r="K106" s="6" t="s">
        <v>65</v>
      </c>
      <c r="L106" s="14"/>
      <c r="N106" s="11"/>
    </row>
    <row r="107" spans="11:14" x14ac:dyDescent="0.25">
      <c r="K107" s="6" t="s">
        <v>66</v>
      </c>
      <c r="L107" s="14"/>
      <c r="N107" s="11"/>
    </row>
    <row r="108" spans="11:14" ht="24.75" x14ac:dyDescent="0.25">
      <c r="K108" s="6" t="s">
        <v>67</v>
      </c>
      <c r="L108" s="14"/>
      <c r="N108" s="11"/>
    </row>
    <row r="109" spans="11:14" x14ac:dyDescent="0.25">
      <c r="K109" s="6" t="s">
        <v>68</v>
      </c>
      <c r="L109" s="14"/>
      <c r="N109" s="11"/>
    </row>
    <row r="110" spans="11:14" ht="24.75" x14ac:dyDescent="0.25">
      <c r="K110" s="6" t="s">
        <v>69</v>
      </c>
      <c r="L110" s="14"/>
      <c r="N110" s="11"/>
    </row>
    <row r="111" spans="11:14" x14ac:dyDescent="0.25">
      <c r="K111" s="6" t="s">
        <v>70</v>
      </c>
      <c r="L111" s="14"/>
      <c r="N111" s="11"/>
    </row>
    <row r="112" spans="11:14" ht="24.75" x14ac:dyDescent="0.25">
      <c r="K112" s="6" t="s">
        <v>71</v>
      </c>
      <c r="L112" s="14"/>
      <c r="N112" s="11"/>
    </row>
    <row r="113" spans="11:14" ht="36.75" x14ac:dyDescent="0.25">
      <c r="K113" s="6" t="s">
        <v>72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53"/>
  <sheetViews>
    <sheetView workbookViewId="0">
      <selection activeCell="F32" sqref="F32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60" t="s">
        <v>204</v>
      </c>
      <c r="B1" s="160"/>
      <c r="C1" s="160"/>
      <c r="D1" s="160"/>
    </row>
    <row r="2" spans="1:4" x14ac:dyDescent="0.25">
      <c r="A2" s="128" t="s">
        <v>174</v>
      </c>
      <c r="B2" s="128" t="s">
        <v>175</v>
      </c>
      <c r="C2" s="129" t="s">
        <v>203</v>
      </c>
      <c r="D2" s="129"/>
    </row>
    <row r="3" spans="1:4" x14ac:dyDescent="0.25">
      <c r="A3" s="130" t="s">
        <v>222</v>
      </c>
      <c r="B3" s="132">
        <f>'Data Analysis'!L2</f>
        <v>128</v>
      </c>
      <c r="C3" s="130">
        <f>B3*5</f>
        <v>640</v>
      </c>
      <c r="D3" s="131"/>
    </row>
    <row r="4" spans="1:4" x14ac:dyDescent="0.25">
      <c r="A4" s="130" t="s">
        <v>125</v>
      </c>
      <c r="B4" s="132"/>
      <c r="C4" s="130">
        <f t="shared" ref="C4:C5" si="0">B4*5</f>
        <v>0</v>
      </c>
      <c r="D4" s="131"/>
    </row>
    <row r="5" spans="1:4" x14ac:dyDescent="0.25">
      <c r="A5" s="130" t="s">
        <v>124</v>
      </c>
      <c r="B5" s="132">
        <f>B3-B4</f>
        <v>128</v>
      </c>
      <c r="C5" s="130">
        <f t="shared" si="0"/>
        <v>640</v>
      </c>
      <c r="D5" s="131"/>
    </row>
    <row r="6" spans="1:4" ht="25.5" x14ac:dyDescent="0.25">
      <c r="A6" s="154" t="s">
        <v>240</v>
      </c>
      <c r="B6" s="140" t="str">
        <f>'Data Analysis'!L3</f>
        <v>07/05/15 - 11/17/19</v>
      </c>
      <c r="C6" s="130"/>
      <c r="D6" s="131"/>
    </row>
    <row r="7" spans="1:4" x14ac:dyDescent="0.25">
      <c r="A7" s="130" t="s">
        <v>176</v>
      </c>
      <c r="B7" s="132">
        <f>'Data Analysis'!L4</f>
        <v>5785</v>
      </c>
      <c r="C7" s="130">
        <f>B7*5</f>
        <v>28925</v>
      </c>
      <c r="D7" s="131"/>
    </row>
    <row r="8" spans="1:4" x14ac:dyDescent="0.25">
      <c r="A8" s="130" t="s">
        <v>177</v>
      </c>
      <c r="B8" s="133">
        <f>'Data Analysis'!L6</f>
        <v>1157</v>
      </c>
      <c r="C8" s="130"/>
      <c r="D8" s="131"/>
    </row>
    <row r="9" spans="1:4" x14ac:dyDescent="0.25">
      <c r="A9" s="130" t="s">
        <v>178</v>
      </c>
      <c r="B9" s="133">
        <f>'Data Analysis'!L7</f>
        <v>0</v>
      </c>
      <c r="C9" s="130"/>
      <c r="D9" s="131"/>
    </row>
    <row r="10" spans="1:4" x14ac:dyDescent="0.25">
      <c r="A10" s="130" t="s">
        <v>179</v>
      </c>
      <c r="B10" s="134">
        <f>'Pay Analysis'!B17</f>
        <v>15</v>
      </c>
      <c r="C10" s="130"/>
      <c r="D10" s="131"/>
    </row>
    <row r="11" spans="1:4" x14ac:dyDescent="0.25">
      <c r="A11" s="130" t="s">
        <v>230</v>
      </c>
      <c r="B11" s="132">
        <f>'Data Analysis'!L5</f>
        <v>5</v>
      </c>
      <c r="C11" s="130">
        <f t="shared" ref="C11:C13" si="1">B11*5</f>
        <v>25</v>
      </c>
      <c r="D11" s="131"/>
    </row>
    <row r="12" spans="1:4" x14ac:dyDescent="0.25">
      <c r="A12" s="130" t="s">
        <v>231</v>
      </c>
      <c r="B12" s="132"/>
      <c r="C12" s="130"/>
      <c r="D12" s="131"/>
    </row>
    <row r="13" spans="1:4" x14ac:dyDescent="0.25">
      <c r="A13" s="130" t="str">
        <f>'Data Analysis'!K8</f>
        <v>PAGA Periods from time data
(xx/xx/xx - xx/xx/xx)</v>
      </c>
      <c r="B13" s="132">
        <f>'Data Analysis'!L8</f>
        <v>222</v>
      </c>
      <c r="C13" s="130">
        <f t="shared" si="1"/>
        <v>1110</v>
      </c>
      <c r="D13" s="131"/>
    </row>
    <row r="14" spans="1:4" x14ac:dyDescent="0.25">
      <c r="A14" s="130" t="s">
        <v>239</v>
      </c>
      <c r="B14" s="132"/>
      <c r="C14" s="130"/>
      <c r="D14" s="131"/>
    </row>
    <row r="15" spans="1:4" x14ac:dyDescent="0.25">
      <c r="A15" s="130" t="s">
        <v>232</v>
      </c>
      <c r="B15" s="132"/>
      <c r="C15" s="130"/>
      <c r="D15" s="131"/>
    </row>
    <row r="16" spans="1:4" x14ac:dyDescent="0.25">
      <c r="A16" s="130" t="s">
        <v>180</v>
      </c>
      <c r="B16" s="139" t="str">
        <f>'Data Analysis'!L21&amp;" of "&amp;'Data Analysis'!L20</f>
        <v>1842 of 7856</v>
      </c>
      <c r="C16" s="130">
        <f>'Data Analysis'!L21*5</f>
        <v>9210</v>
      </c>
      <c r="D16" s="131"/>
    </row>
    <row r="17" spans="1:4" x14ac:dyDescent="0.25">
      <c r="A17" s="130" t="s">
        <v>233</v>
      </c>
      <c r="B17" s="139"/>
      <c r="C17" s="130"/>
      <c r="D17" s="131"/>
    </row>
    <row r="18" spans="1:4" x14ac:dyDescent="0.25">
      <c r="A18" s="131"/>
      <c r="B18" s="131"/>
      <c r="C18" s="131"/>
      <c r="D18" s="131"/>
    </row>
    <row r="19" spans="1:4" x14ac:dyDescent="0.25">
      <c r="A19" s="160" t="s">
        <v>181</v>
      </c>
      <c r="B19" s="160"/>
      <c r="C19" s="160"/>
      <c r="D19" s="160"/>
    </row>
    <row r="20" spans="1:4" x14ac:dyDescent="0.25">
      <c r="A20" s="128" t="s">
        <v>182</v>
      </c>
      <c r="B20" s="128" t="s">
        <v>183</v>
      </c>
      <c r="C20" s="128" t="s">
        <v>184</v>
      </c>
      <c r="D20" s="129" t="s">
        <v>91</v>
      </c>
    </row>
    <row r="21" spans="1:4" ht="25.5" x14ac:dyDescent="0.25">
      <c r="A21" s="154" t="s">
        <v>238</v>
      </c>
      <c r="B21" s="130">
        <f>'Data Analysis'!B7</f>
        <v>4250</v>
      </c>
      <c r="C21" s="137">
        <f>B21/D21</f>
        <v>0.31878187818781878</v>
      </c>
      <c r="D21" s="130">
        <f>'Data Analysis'!H7</f>
        <v>13332</v>
      </c>
    </row>
    <row r="22" spans="1:4" ht="25.5" x14ac:dyDescent="0.25">
      <c r="A22" s="154" t="s">
        <v>236</v>
      </c>
      <c r="B22" s="130">
        <f>'Data Analysis'!C7</f>
        <v>1106</v>
      </c>
      <c r="C22" s="137">
        <f t="shared" ref="C22:C24" si="2">B22/D22</f>
        <v>8.2958295829582959E-2</v>
      </c>
      <c r="D22" s="130">
        <f>D21</f>
        <v>13332</v>
      </c>
    </row>
    <row r="23" spans="1:4" x14ac:dyDescent="0.25">
      <c r="A23" s="130" t="s">
        <v>185</v>
      </c>
      <c r="B23" s="130">
        <f>'Data Analysis'!D7</f>
        <v>771</v>
      </c>
      <c r="C23" s="137">
        <f t="shared" si="2"/>
        <v>5.7830783078307829E-2</v>
      </c>
      <c r="D23" s="130">
        <f>D21</f>
        <v>13332</v>
      </c>
    </row>
    <row r="24" spans="1:4" ht="25.5" x14ac:dyDescent="0.25">
      <c r="A24" s="154" t="s">
        <v>237</v>
      </c>
      <c r="B24" s="130">
        <f>'Data Analysis'!F10</f>
        <v>16</v>
      </c>
      <c r="C24" s="137">
        <f t="shared" si="2"/>
        <v>0.84210526315789469</v>
      </c>
      <c r="D24" s="130">
        <f>'Data Analysis'!H10</f>
        <v>19</v>
      </c>
    </row>
    <row r="25" spans="1:4" x14ac:dyDescent="0.25">
      <c r="A25" s="130" t="s">
        <v>186</v>
      </c>
      <c r="B25" s="130">
        <f>'Data Analysis'!L26</f>
        <v>0</v>
      </c>
      <c r="C25" s="136">
        <f>B25/D25</f>
        <v>0</v>
      </c>
      <c r="D25" s="130">
        <f>D23</f>
        <v>13332</v>
      </c>
    </row>
    <row r="26" spans="1:4" x14ac:dyDescent="0.25">
      <c r="A26" s="131"/>
      <c r="B26" s="131"/>
      <c r="C26" s="131"/>
      <c r="D26" s="131"/>
    </row>
    <row r="27" spans="1:4" x14ac:dyDescent="0.25">
      <c r="A27" s="160" t="s">
        <v>252</v>
      </c>
      <c r="B27" s="160"/>
      <c r="C27" s="160"/>
      <c r="D27" s="160"/>
    </row>
    <row r="28" spans="1:4" x14ac:dyDescent="0.25">
      <c r="A28" s="128" t="s">
        <v>187</v>
      </c>
      <c r="B28" s="128" t="s">
        <v>91</v>
      </c>
      <c r="C28" s="128" t="s">
        <v>188</v>
      </c>
      <c r="D28" s="128" t="s">
        <v>189</v>
      </c>
    </row>
    <row r="29" spans="1:4" x14ac:dyDescent="0.25">
      <c r="A29" s="130" t="s">
        <v>190</v>
      </c>
      <c r="B29" s="130">
        <f>'Data Analysis'!H2</f>
        <v>5830</v>
      </c>
      <c r="C29" s="137">
        <f>'Data Analysis'!E2/'Data Analysis'!H2</f>
        <v>0.63310463121783878</v>
      </c>
      <c r="D29" s="141" t="s">
        <v>191</v>
      </c>
    </row>
    <row r="30" spans="1:4" x14ac:dyDescent="0.25">
      <c r="A30" s="130" t="s">
        <v>192</v>
      </c>
      <c r="B30" s="130">
        <f>'Data Analysis'!H3</f>
        <v>7741</v>
      </c>
      <c r="C30" s="137">
        <f>'Data Analysis'!E3/'Data Analysis'!H3</f>
        <v>0.33458209533651984</v>
      </c>
      <c r="D30" s="141" t="s">
        <v>191</v>
      </c>
    </row>
    <row r="31" spans="1:4" x14ac:dyDescent="0.25">
      <c r="A31" s="130" t="s">
        <v>193</v>
      </c>
      <c r="B31" s="130">
        <f>'Data Analysis'!H4</f>
        <v>14</v>
      </c>
      <c r="C31" s="137">
        <f>'Data Analysis'!E4/'Data Analysis'!H4</f>
        <v>0.6428571428571429</v>
      </c>
      <c r="D31" s="137">
        <f>'Data Analysis'!F4/'Data Analysis'!H4</f>
        <v>0.8571428571428571</v>
      </c>
    </row>
    <row r="32" spans="1:4" x14ac:dyDescent="0.25">
      <c r="A32" s="130" t="s">
        <v>194</v>
      </c>
      <c r="B32" s="130">
        <f>'Data Analysis'!H11</f>
        <v>5</v>
      </c>
      <c r="C32" s="137">
        <f>'Data Analysis'!E11/'Data Analysis'!H11</f>
        <v>0.2</v>
      </c>
      <c r="D32" s="137">
        <f>'Data Analysis'!F11/'Data Analysis'!H11</f>
        <v>0.8</v>
      </c>
    </row>
    <row r="33" spans="1:4" x14ac:dyDescent="0.25">
      <c r="A33" s="131"/>
      <c r="B33" s="131"/>
      <c r="C33" s="131"/>
      <c r="D33" s="131"/>
    </row>
    <row r="34" spans="1:4" x14ac:dyDescent="0.25">
      <c r="A34" s="160" t="s">
        <v>242</v>
      </c>
      <c r="B34" s="160"/>
      <c r="C34" s="160"/>
      <c r="D34" s="160"/>
    </row>
    <row r="35" spans="1:4" x14ac:dyDescent="0.25">
      <c r="A35" s="128" t="s">
        <v>243</v>
      </c>
      <c r="B35" s="128" t="s">
        <v>183</v>
      </c>
      <c r="C35" s="128" t="s">
        <v>203</v>
      </c>
      <c r="D35" s="128"/>
    </row>
    <row r="36" spans="1:4" x14ac:dyDescent="0.25">
      <c r="A36" s="130" t="s">
        <v>244</v>
      </c>
      <c r="B36" s="130">
        <f>'Data Analysis'!H6</f>
        <v>18310</v>
      </c>
      <c r="C36" s="156">
        <f>B36*5</f>
        <v>91550</v>
      </c>
      <c r="D36" s="141"/>
    </row>
    <row r="37" spans="1:4" x14ac:dyDescent="0.25">
      <c r="A37" s="130" t="s">
        <v>245</v>
      </c>
      <c r="B37" s="130">
        <f>'Data Analysis'!H7</f>
        <v>13332</v>
      </c>
      <c r="C37" s="156">
        <f t="shared" ref="C37:C41" si="3">B37*5</f>
        <v>66660</v>
      </c>
      <c r="D37" s="141"/>
    </row>
    <row r="38" spans="1:4" x14ac:dyDescent="0.25">
      <c r="A38" s="130" t="s">
        <v>246</v>
      </c>
      <c r="B38" s="130">
        <f>'Data Analysis'!H8</f>
        <v>7760</v>
      </c>
      <c r="C38" s="156">
        <f t="shared" si="3"/>
        <v>38800</v>
      </c>
      <c r="D38" s="137"/>
    </row>
    <row r="39" spans="1:4" x14ac:dyDescent="0.25">
      <c r="A39" s="130" t="s">
        <v>247</v>
      </c>
      <c r="B39" s="130">
        <f>'Data Analysis'!H9</f>
        <v>0</v>
      </c>
      <c r="C39" s="156">
        <f t="shared" si="3"/>
        <v>0</v>
      </c>
      <c r="D39" s="137"/>
    </row>
    <row r="40" spans="1:4" x14ac:dyDescent="0.25">
      <c r="A40" s="130" t="s">
        <v>248</v>
      </c>
      <c r="B40" s="130">
        <f>'Data Analysis'!H10</f>
        <v>19</v>
      </c>
      <c r="C40" s="156">
        <f t="shared" si="3"/>
        <v>95</v>
      </c>
      <c r="D40" s="137"/>
    </row>
    <row r="41" spans="1:4" x14ac:dyDescent="0.25">
      <c r="A41" s="130" t="s">
        <v>249</v>
      </c>
      <c r="B41" s="130">
        <f>'Data Analysis'!H11</f>
        <v>5</v>
      </c>
      <c r="C41" s="156">
        <f t="shared" si="3"/>
        <v>25</v>
      </c>
      <c r="D41" s="137"/>
    </row>
    <row r="42" spans="1:4" x14ac:dyDescent="0.25">
      <c r="A42" s="131"/>
      <c r="B42" s="131"/>
      <c r="C42" s="131"/>
      <c r="D42" s="131"/>
    </row>
    <row r="43" spans="1:4" x14ac:dyDescent="0.25">
      <c r="A43" s="160" t="s">
        <v>250</v>
      </c>
      <c r="B43" s="160"/>
      <c r="C43" s="160"/>
      <c r="D43" s="160"/>
    </row>
    <row r="44" spans="1:4" x14ac:dyDescent="0.25">
      <c r="A44" s="130" t="s">
        <v>195</v>
      </c>
      <c r="B44" s="135">
        <f>'Data Analysis'!L29</f>
        <v>0</v>
      </c>
      <c r="C44" s="130" t="s">
        <v>196</v>
      </c>
      <c r="D44" s="155">
        <f>'Data Analysis'!L28</f>
        <v>0</v>
      </c>
    </row>
    <row r="45" spans="1:4" x14ac:dyDescent="0.25">
      <c r="A45" s="130" t="s">
        <v>202</v>
      </c>
      <c r="B45" s="138">
        <f>'Data Analysis'!L30</f>
        <v>0</v>
      </c>
      <c r="C45" s="130"/>
      <c r="D45" s="135"/>
    </row>
    <row r="46" spans="1:4" x14ac:dyDescent="0.25">
      <c r="A46" s="131"/>
      <c r="B46" s="131"/>
      <c r="C46" s="131"/>
      <c r="D46" s="131"/>
    </row>
    <row r="47" spans="1:4" x14ac:dyDescent="0.25">
      <c r="A47" s="160" t="s">
        <v>251</v>
      </c>
      <c r="B47" s="160"/>
      <c r="C47" s="160"/>
      <c r="D47" s="160"/>
    </row>
    <row r="48" spans="1:4" x14ac:dyDescent="0.25">
      <c r="A48" s="128" t="s">
        <v>197</v>
      </c>
      <c r="B48" s="128" t="s">
        <v>175</v>
      </c>
      <c r="C48" s="129"/>
      <c r="D48" s="129"/>
    </row>
    <row r="49" spans="1:4" x14ac:dyDescent="0.25">
      <c r="A49" s="130" t="s">
        <v>198</v>
      </c>
      <c r="B49" s="130">
        <f>'Data Analysis'!H6</f>
        <v>18310</v>
      </c>
      <c r="C49" s="131"/>
      <c r="D49" s="131"/>
    </row>
    <row r="50" spans="1:4" x14ac:dyDescent="0.25">
      <c r="A50" s="130" t="s">
        <v>199</v>
      </c>
      <c r="B50" s="130">
        <f>'Rest Periods'!E3</f>
        <v>0</v>
      </c>
      <c r="C50" s="131"/>
      <c r="D50" s="131"/>
    </row>
    <row r="51" spans="1:4" x14ac:dyDescent="0.25">
      <c r="A51" s="130" t="s">
        <v>86</v>
      </c>
      <c r="B51" s="142" t="e">
        <f>'Rest Periods'!E7</f>
        <v>#DIV/0!</v>
      </c>
      <c r="C51" s="131"/>
      <c r="D51" s="131"/>
    </row>
    <row r="52" spans="1:4" x14ac:dyDescent="0.25">
      <c r="A52" s="130" t="s">
        <v>200</v>
      </c>
      <c r="B52" s="152" t="s">
        <v>201</v>
      </c>
      <c r="C52" s="131"/>
      <c r="D52" s="131"/>
    </row>
    <row r="53" spans="1:4" ht="16.5" x14ac:dyDescent="0.25">
      <c r="A53" s="127"/>
    </row>
  </sheetData>
  <mergeCells count="6">
    <mergeCell ref="A1:D1"/>
    <mergeCell ref="A19:D19"/>
    <mergeCell ref="A27:D27"/>
    <mergeCell ref="A43:D43"/>
    <mergeCell ref="A47:D47"/>
    <mergeCell ref="A34:D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>
      <selection activeCell="J21" sqref="J21"/>
    </sheetView>
  </sheetViews>
  <sheetFormatPr defaultRowHeight="15" x14ac:dyDescent="0.25"/>
  <cols>
    <col min="1" max="1" width="43" customWidth="1"/>
    <col min="2" max="2" width="18.7109375" customWidth="1"/>
  </cols>
  <sheetData>
    <row r="1" spans="1:2" ht="15" customHeight="1" x14ac:dyDescent="0.25">
      <c r="A1" s="161" t="s">
        <v>73</v>
      </c>
      <c r="B1" s="163" t="s">
        <v>82</v>
      </c>
    </row>
    <row r="2" spans="1:2" ht="26.25" customHeight="1" x14ac:dyDescent="0.25">
      <c r="A2" s="162"/>
      <c r="B2" s="164"/>
    </row>
    <row r="3" spans="1:2" x14ac:dyDescent="0.25">
      <c r="A3" s="22" t="s">
        <v>123</v>
      </c>
      <c r="B3" s="21"/>
    </row>
    <row r="4" spans="1:2" x14ac:dyDescent="0.25">
      <c r="A4" s="22" t="s">
        <v>122</v>
      </c>
      <c r="B4" s="21"/>
    </row>
    <row r="5" spans="1:2" x14ac:dyDescent="0.25">
      <c r="A5" s="22" t="s">
        <v>223</v>
      </c>
      <c r="B5" s="21"/>
    </row>
    <row r="6" spans="1:2" x14ac:dyDescent="0.25">
      <c r="A6" s="22" t="s">
        <v>128</v>
      </c>
      <c r="B6" s="108"/>
    </row>
    <row r="7" spans="1:2" x14ac:dyDescent="0.25">
      <c r="A7" s="22" t="s">
        <v>85</v>
      </c>
      <c r="B7" s="109"/>
    </row>
    <row r="8" spans="1:2" x14ac:dyDescent="0.25">
      <c r="A8" s="22" t="s">
        <v>74</v>
      </c>
      <c r="B8" s="110"/>
    </row>
    <row r="9" spans="1:2" x14ac:dyDescent="0.25">
      <c r="A9" s="22" t="s">
        <v>101</v>
      </c>
      <c r="B9" s="110"/>
    </row>
    <row r="10" spans="1:2" x14ac:dyDescent="0.25">
      <c r="A10" s="22" t="s">
        <v>120</v>
      </c>
      <c r="B10" s="110"/>
    </row>
    <row r="11" spans="1:2" x14ac:dyDescent="0.25">
      <c r="A11" s="22" t="s">
        <v>121</v>
      </c>
      <c r="B11" s="110"/>
    </row>
    <row r="12" spans="1:2" x14ac:dyDescent="0.25">
      <c r="A12" s="22" t="s">
        <v>153</v>
      </c>
      <c r="B12" s="110"/>
    </row>
    <row r="13" spans="1:2" x14ac:dyDescent="0.25">
      <c r="A13" s="22" t="s">
        <v>157</v>
      </c>
      <c r="B13" s="110"/>
    </row>
    <row r="14" spans="1:2" x14ac:dyDescent="0.25">
      <c r="A14" s="22" t="s">
        <v>158</v>
      </c>
      <c r="B14" s="110"/>
    </row>
    <row r="15" spans="1:2" x14ac:dyDescent="0.25">
      <c r="A15" s="22" t="s">
        <v>159</v>
      </c>
      <c r="B15" s="110"/>
    </row>
    <row r="16" spans="1:2" x14ac:dyDescent="0.25">
      <c r="A16" s="22" t="s">
        <v>254</v>
      </c>
      <c r="B16" s="110"/>
    </row>
    <row r="17" spans="1:2" x14ac:dyDescent="0.25">
      <c r="A17" s="22" t="s">
        <v>255</v>
      </c>
      <c r="B17" s="110">
        <v>15</v>
      </c>
    </row>
    <row r="18" spans="1:2" ht="15.75" thickBot="1" x14ac:dyDescent="0.3">
      <c r="A18" s="23" t="s">
        <v>256</v>
      </c>
      <c r="B18" s="111">
        <v>15</v>
      </c>
    </row>
    <row r="20" spans="1:2" x14ac:dyDescent="0.25">
      <c r="A20" s="2"/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topLeftCell="CU1" workbookViewId="0">
      <selection activeCell="DO7" sqref="DO7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>
        <v>222</v>
      </c>
    </row>
    <row r="3" spans="1:149" x14ac:dyDescent="0.25">
      <c r="A3" s="35"/>
      <c r="B3" s="120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>
        <v>222</v>
      </c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5EE3-05D9-4949-9BA1-2842476E0398}">
  <dimension ref="A1:H57"/>
  <sheetViews>
    <sheetView tabSelected="1" topLeftCell="A5" workbookViewId="0">
      <selection activeCell="B28" sqref="B28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6.140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59" t="str">
        <f>TEXT(B14,"0.0%") &amp; " Meal Violation Rate"</f>
        <v>46.0% Meal Violation Rate</v>
      </c>
      <c r="E1" s="159"/>
      <c r="F1" s="73"/>
    </row>
    <row r="2" spans="1:8" x14ac:dyDescent="0.25">
      <c r="A2" s="73" t="s">
        <v>162</v>
      </c>
      <c r="B2" s="73"/>
      <c r="E2" s="148" t="s">
        <v>220</v>
      </c>
      <c r="F2" s="148" t="s">
        <v>221</v>
      </c>
    </row>
    <row r="3" spans="1:8" x14ac:dyDescent="0.25">
      <c r="A3" s="158" t="s">
        <v>139</v>
      </c>
      <c r="B3" s="158"/>
      <c r="E3" s="149">
        <v>44927</v>
      </c>
      <c r="F3" s="149">
        <f ca="1">TODAY()</f>
        <v>46274</v>
      </c>
    </row>
    <row r="4" spans="1:8" ht="22.5" x14ac:dyDescent="0.25">
      <c r="A4" s="74" t="s">
        <v>225</v>
      </c>
      <c r="B4" s="74" t="s">
        <v>226</v>
      </c>
      <c r="C4" s="74" t="s">
        <v>227</v>
      </c>
      <c r="D4" s="74" t="s">
        <v>228</v>
      </c>
      <c r="E4" s="74" t="s">
        <v>229</v>
      </c>
      <c r="F4" s="74" t="s">
        <v>141</v>
      </c>
      <c r="G4" s="74" t="s">
        <v>217</v>
      </c>
      <c r="H4" s="74" t="s">
        <v>142</v>
      </c>
    </row>
    <row r="5" spans="1:8" x14ac:dyDescent="0.25">
      <c r="A5" s="75">
        <f>Summary!C13</f>
        <v>1110</v>
      </c>
      <c r="B5" s="151">
        <f>[1]Overtime!I1157/[1]Summary!C14</f>
        <v>1.1978925233644859</v>
      </c>
      <c r="C5" s="151">
        <f>[1]Overtime!J1157/[1]Summary!C14</f>
        <v>2.608042056074773</v>
      </c>
      <c r="D5" s="153">
        <f>'Data Analysis'!L9*1.5</f>
        <v>22.5</v>
      </c>
      <c r="E5" s="153">
        <f>'Data Analysis'!L9*2</f>
        <v>30</v>
      </c>
      <c r="F5" s="157">
        <f>(A5*B5*D5)+(A5*C5*E5)</f>
        <v>116765.16623831798</v>
      </c>
      <c r="G5" s="157">
        <f ca="1" xml:space="preserve"> F5 * 0.1 * ((F3 - E3) / 2) / 365</f>
        <v>21545.572455207439</v>
      </c>
      <c r="H5" s="157">
        <f ca="1">G5+F5</f>
        <v>138310.73869352543</v>
      </c>
    </row>
    <row r="6" spans="1:8" x14ac:dyDescent="0.25">
      <c r="A6" s="81" t="s">
        <v>253</v>
      </c>
      <c r="B6" s="81"/>
      <c r="C6" s="81"/>
      <c r="D6" s="77"/>
      <c r="E6" s="77"/>
      <c r="F6" s="77"/>
    </row>
    <row r="7" spans="1:8" x14ac:dyDescent="0.25">
      <c r="A7" s="80" t="s">
        <v>104</v>
      </c>
      <c r="B7" s="80" t="s">
        <v>148</v>
      </c>
      <c r="C7" s="80" t="s">
        <v>147</v>
      </c>
      <c r="D7" s="77"/>
      <c r="E7" s="77"/>
      <c r="F7" s="77"/>
    </row>
    <row r="8" spans="1:8" x14ac:dyDescent="0.25">
      <c r="A8" s="76">
        <f>Summary!C15</f>
        <v>0</v>
      </c>
      <c r="B8" s="75">
        <f>Summary!C13</f>
        <v>1110</v>
      </c>
      <c r="C8" s="157">
        <f>(50*A8)+(100*(B8-A8))</f>
        <v>111000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6"/>
      <c r="B10" s="75"/>
      <c r="C10" s="77"/>
      <c r="D10" s="77"/>
      <c r="E10" s="77"/>
      <c r="F10" s="77"/>
    </row>
    <row r="11" spans="1:8" x14ac:dyDescent="0.25">
      <c r="A11" s="73" t="s">
        <v>163</v>
      </c>
      <c r="B11" s="76"/>
      <c r="C11" s="147"/>
      <c r="D11" s="147"/>
      <c r="E11" s="148" t="s">
        <v>220</v>
      </c>
      <c r="F11" s="148" t="s">
        <v>221</v>
      </c>
    </row>
    <row r="12" spans="1:8" x14ac:dyDescent="0.25">
      <c r="A12" s="158" t="s">
        <v>143</v>
      </c>
      <c r="B12" s="158"/>
      <c r="C12" s="146"/>
      <c r="D12" s="146"/>
      <c r="E12" s="149">
        <v>44197</v>
      </c>
      <c r="F12" s="149">
        <f ca="1">TODAY()</f>
        <v>46274</v>
      </c>
    </row>
    <row r="13" spans="1:8" x14ac:dyDescent="0.25">
      <c r="A13" s="78" t="s">
        <v>140</v>
      </c>
      <c r="B13" s="78" t="s">
        <v>86</v>
      </c>
      <c r="C13" s="78" t="s">
        <v>144</v>
      </c>
      <c r="D13" s="78" t="s">
        <v>141</v>
      </c>
      <c r="E13" s="74" t="s">
        <v>216</v>
      </c>
      <c r="F13" s="78" t="s">
        <v>142</v>
      </c>
    </row>
    <row r="14" spans="1:8" x14ac:dyDescent="0.25">
      <c r="A14" s="75">
        <f>Summary!C11</f>
        <v>25</v>
      </c>
      <c r="B14" s="79">
        <f>'Data Analysis'!$I$7</f>
        <v>0.46009600960096009</v>
      </c>
      <c r="C14" s="77">
        <f>'Pay Analysis'!B17</f>
        <v>15</v>
      </c>
      <c r="D14" s="157">
        <f>A14*5*B14*C14</f>
        <v>862.68001800180014</v>
      </c>
      <c r="E14" s="157">
        <f ca="1" xml:space="preserve"> D14 * 0.07 * ((F12 - E12) / 2) / 365</f>
        <v>171.81513399627636</v>
      </c>
      <c r="F14" s="157">
        <f ca="1">D14+E14</f>
        <v>1034.4951519980764</v>
      </c>
    </row>
    <row r="15" spans="1:8" x14ac:dyDescent="0.25">
      <c r="A15" s="158" t="s">
        <v>145</v>
      </c>
      <c r="B15" s="158"/>
      <c r="C15" s="158"/>
      <c r="D15" s="158"/>
      <c r="E15" s="158"/>
      <c r="F15" s="158"/>
    </row>
    <row r="16" spans="1:8" x14ac:dyDescent="0.25">
      <c r="A16" s="80" t="s">
        <v>140</v>
      </c>
      <c r="B16" s="80" t="s">
        <v>86</v>
      </c>
      <c r="C16" s="80" t="s">
        <v>144</v>
      </c>
      <c r="D16" s="80" t="s">
        <v>141</v>
      </c>
      <c r="E16" s="74" t="s">
        <v>216</v>
      </c>
      <c r="F16" s="80" t="s">
        <v>142</v>
      </c>
    </row>
    <row r="17" spans="1:6" x14ac:dyDescent="0.25">
      <c r="A17" s="75">
        <f>Summary!C11</f>
        <v>25</v>
      </c>
      <c r="B17" s="79"/>
      <c r="C17" s="77">
        <f>'Pay Analysis'!B17</f>
        <v>15</v>
      </c>
      <c r="D17" s="157">
        <f>A17*5*B17*C17</f>
        <v>0</v>
      </c>
      <c r="E17" s="157">
        <f ca="1" xml:space="preserve"> D17 * 0.07 * ((F12 - E12) / 2) / 365</f>
        <v>0</v>
      </c>
      <c r="F17" s="157">
        <f ca="1">D17+E17</f>
        <v>0</v>
      </c>
    </row>
    <row r="18" spans="1:6" x14ac:dyDescent="0.25">
      <c r="A18" s="158" t="s">
        <v>215</v>
      </c>
      <c r="B18" s="158"/>
      <c r="C18" s="81"/>
      <c r="D18" s="81"/>
      <c r="E18" s="81"/>
      <c r="F18" s="81"/>
    </row>
    <row r="19" spans="1:6" x14ac:dyDescent="0.25">
      <c r="A19" s="80" t="s">
        <v>124</v>
      </c>
      <c r="B19" s="80" t="s">
        <v>144</v>
      </c>
      <c r="C19" s="80" t="s">
        <v>146</v>
      </c>
      <c r="D19" s="80" t="s">
        <v>147</v>
      </c>
      <c r="E19" s="76"/>
      <c r="F19" s="82"/>
    </row>
    <row r="20" spans="1:6" x14ac:dyDescent="0.25">
      <c r="A20" s="76">
        <f>Summary!C5</f>
        <v>640</v>
      </c>
      <c r="B20" s="77">
        <f>'Pay Analysis'!$B$17</f>
        <v>15</v>
      </c>
      <c r="C20" s="77">
        <f>B20*8*30</f>
        <v>3600</v>
      </c>
      <c r="D20" s="157">
        <f>C20*A20</f>
        <v>2304000</v>
      </c>
      <c r="E20" s="76"/>
      <c r="F20" s="82"/>
    </row>
    <row r="21" spans="1:6" x14ac:dyDescent="0.25">
      <c r="A21" s="158" t="s">
        <v>218</v>
      </c>
      <c r="B21" s="158"/>
      <c r="C21" s="145"/>
      <c r="D21" s="76"/>
      <c r="E21" s="76"/>
      <c r="F21" s="82"/>
    </row>
    <row r="22" spans="1:6" ht="22.5" x14ac:dyDescent="0.25">
      <c r="A22" s="80" t="s">
        <v>219</v>
      </c>
      <c r="B22" s="74" t="s">
        <v>234</v>
      </c>
      <c r="C22" s="80" t="s">
        <v>235</v>
      </c>
      <c r="D22" s="80" t="s">
        <v>141</v>
      </c>
      <c r="E22" s="74" t="s">
        <v>216</v>
      </c>
      <c r="F22" s="74" t="s">
        <v>142</v>
      </c>
    </row>
    <row r="23" spans="1:6" x14ac:dyDescent="0.25">
      <c r="A23" s="77"/>
      <c r="B23" s="76" t="e">
        <f>A23/Summary!B14</f>
        <v>#DIV/0!</v>
      </c>
      <c r="C23" s="150">
        <f>A17</f>
        <v>25</v>
      </c>
      <c r="D23" s="150" t="e">
        <f>C23*B23</f>
        <v>#DIV/0!</v>
      </c>
      <c r="E23" s="157" t="e">
        <f ca="1" xml:space="preserve"> D23 * 0.07 * ((F12 - E12) / 2) / 365</f>
        <v>#DIV/0!</v>
      </c>
      <c r="F23" s="165" t="e">
        <f ca="1">D23+E23</f>
        <v>#DIV/0!</v>
      </c>
    </row>
    <row r="24" spans="1:6" x14ac:dyDescent="0.25">
      <c r="A24" s="158" t="s">
        <v>224</v>
      </c>
      <c r="B24" s="158"/>
      <c r="C24" s="145"/>
      <c r="D24" s="76"/>
      <c r="E24" s="76"/>
      <c r="F24" s="82"/>
    </row>
    <row r="25" spans="1:6" ht="22.5" x14ac:dyDescent="0.25">
      <c r="A25" s="80" t="s">
        <v>219</v>
      </c>
      <c r="B25" s="74" t="s">
        <v>234</v>
      </c>
      <c r="C25" s="80" t="s">
        <v>235</v>
      </c>
      <c r="D25" s="80" t="s">
        <v>141</v>
      </c>
      <c r="E25" s="74" t="s">
        <v>216</v>
      </c>
      <c r="F25" s="74" t="s">
        <v>142</v>
      </c>
    </row>
    <row r="26" spans="1:6" x14ac:dyDescent="0.25">
      <c r="A26" s="77"/>
      <c r="B26" s="76" t="e">
        <f>A26/Summary!B14</f>
        <v>#DIV/0!</v>
      </c>
      <c r="C26" s="150">
        <f>A20</f>
        <v>640</v>
      </c>
      <c r="D26" s="150" t="e">
        <f>C26*B26</f>
        <v>#DIV/0!</v>
      </c>
      <c r="E26" s="157" t="e">
        <f ca="1" xml:space="preserve"> D26 * 0.07 * ((F12 - E12) / 2) / 365</f>
        <v>#DIV/0!</v>
      </c>
      <c r="F26" s="165" t="e">
        <f ca="1">D26+E26</f>
        <v>#DIV/0!</v>
      </c>
    </row>
    <row r="27" spans="1:6" x14ac:dyDescent="0.25">
      <c r="D27" s="81"/>
      <c r="E27" s="81"/>
      <c r="F27" s="81"/>
    </row>
    <row r="28" spans="1:6" ht="15.75" thickBot="1" x14ac:dyDescent="0.3">
      <c r="A28" s="83" t="s">
        <v>149</v>
      </c>
      <c r="B28" s="166" t="e">
        <f ca="1">SUM(H5+C8+F14+F17+D20+F23+F26)</f>
        <v>#DIV/0!</v>
      </c>
      <c r="C28" s="76"/>
      <c r="D28" s="76"/>
      <c r="E28" s="76"/>
      <c r="F28" s="82"/>
    </row>
    <row r="29" spans="1:6" ht="15.75" thickBot="1" x14ac:dyDescent="0.3">
      <c r="A29" s="84"/>
      <c r="B29" s="84"/>
      <c r="C29" s="84"/>
      <c r="D29" s="84"/>
      <c r="E29" s="84"/>
      <c r="F29" s="85"/>
    </row>
    <row r="30" spans="1:6" ht="15.75" thickTop="1" x14ac:dyDescent="0.25">
      <c r="A30" s="82"/>
      <c r="B30" s="82"/>
      <c r="C30" s="82"/>
      <c r="D30" s="82"/>
      <c r="E30" s="82"/>
      <c r="F30" s="82"/>
    </row>
    <row r="51" ht="18.75" customHeight="1" x14ac:dyDescent="0.25"/>
    <row r="52" ht="31.5" customHeight="1" x14ac:dyDescent="0.25"/>
    <row r="53" ht="31.5" customHeight="1" x14ac:dyDescent="0.25"/>
    <row r="54" ht="31.5" customHeight="1" x14ac:dyDescent="0.25"/>
    <row r="55" ht="31.5" customHeight="1" x14ac:dyDescent="0.25"/>
    <row r="56" ht="40.5" customHeight="1" x14ac:dyDescent="0.25"/>
    <row r="57" ht="51" customHeight="1" x14ac:dyDescent="0.25"/>
  </sheetData>
  <mergeCells count="7">
    <mergeCell ref="A24:B24"/>
    <mergeCell ref="A21:B21"/>
    <mergeCell ref="A12:B12"/>
    <mergeCell ref="A3:B3"/>
    <mergeCell ref="D1:E1"/>
    <mergeCell ref="A15:F15"/>
    <mergeCell ref="A18:B1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6"/>
    <col min="2" max="7" width="12" style="11" customWidth="1"/>
  </cols>
  <sheetData>
    <row r="1" spans="1:7" x14ac:dyDescent="0.25">
      <c r="A1" s="121"/>
      <c r="B1" s="122"/>
      <c r="C1" s="122"/>
      <c r="D1" s="122"/>
      <c r="E1" s="122"/>
      <c r="F1" s="122" t="s">
        <v>160</v>
      </c>
      <c r="G1" s="122" t="s">
        <v>161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4" t="s">
        <v>205</v>
      </c>
      <c r="B1" s="144" t="s">
        <v>206</v>
      </c>
      <c r="C1" s="144" t="s">
        <v>207</v>
      </c>
      <c r="D1" s="122" t="s">
        <v>208</v>
      </c>
      <c r="E1" s="144" t="s">
        <v>209</v>
      </c>
      <c r="F1" s="144" t="s">
        <v>210</v>
      </c>
      <c r="G1" s="144" t="s">
        <v>211</v>
      </c>
      <c r="H1" s="144" t="s">
        <v>212</v>
      </c>
      <c r="I1" s="144" t="s">
        <v>213</v>
      </c>
      <c r="J1" s="144" t="s">
        <v>214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3" t="s">
        <v>164</v>
      </c>
      <c r="B1" s="143" t="s">
        <v>165</v>
      </c>
      <c r="C1" s="143" t="s">
        <v>166</v>
      </c>
      <c r="D1" s="143" t="s">
        <v>167</v>
      </c>
      <c r="E1" s="143" t="s">
        <v>168</v>
      </c>
    </row>
    <row r="2" spans="1:5" ht="15.75" x14ac:dyDescent="0.25">
      <c r="A2" s="124" t="s">
        <v>169</v>
      </c>
      <c r="B2" s="124"/>
      <c r="C2" s="124"/>
      <c r="D2" s="124"/>
      <c r="E2" s="124">
        <f>Table5[[#This Row],[3rd Rest]]+Table5[[#This Row],[2nd Rest]]+Table5[[#This Row],[1st Rest]]</f>
        <v>0</v>
      </c>
    </row>
    <row r="3" spans="1:5" ht="15.75" x14ac:dyDescent="0.25">
      <c r="A3" s="124" t="s">
        <v>170</v>
      </c>
      <c r="B3" s="124"/>
      <c r="C3" s="124"/>
      <c r="D3" s="124"/>
      <c r="E3" s="124">
        <f>Table5[[#This Row],[3rd Rest]]+Table5[[#This Row],[2nd Rest]]+Table5[[#This Row],[1st Rest]]</f>
        <v>0</v>
      </c>
    </row>
    <row r="4" spans="1:5" ht="15.75" x14ac:dyDescent="0.25">
      <c r="A4" s="124" t="s">
        <v>171</v>
      </c>
      <c r="B4" s="124">
        <f>B5+B6</f>
        <v>0</v>
      </c>
      <c r="C4" s="124">
        <f t="shared" ref="C4:D4" si="0">C5+C6</f>
        <v>0</v>
      </c>
      <c r="D4" s="124">
        <f t="shared" si="0"/>
        <v>0</v>
      </c>
      <c r="E4" s="124">
        <f>Table5[[#This Row],[3rd Rest]]+Table5[[#This Row],[2nd Rest]]+Table5[[#This Row],[1st Rest]]</f>
        <v>0</v>
      </c>
    </row>
    <row r="5" spans="1:5" ht="15.75" x14ac:dyDescent="0.25">
      <c r="A5" s="125" t="s">
        <v>172</v>
      </c>
      <c r="B5" s="124"/>
      <c r="C5" s="124"/>
      <c r="D5" s="124"/>
      <c r="E5" s="124">
        <f>Table5[[#This Row],[3rd Rest]]+Table5[[#This Row],[2nd Rest]]+Table5[[#This Row],[1st Rest]]</f>
        <v>0</v>
      </c>
    </row>
    <row r="6" spans="1:5" ht="15.75" x14ac:dyDescent="0.25">
      <c r="A6" s="125" t="s">
        <v>173</v>
      </c>
      <c r="B6" s="124"/>
      <c r="C6" s="124"/>
      <c r="D6" s="124"/>
      <c r="E6" s="124">
        <f>Table5[[#This Row],[3rd Rest]]+Table5[[#This Row],[2nd Rest]]+Table5[[#This Row],[1st Rest]]</f>
        <v>0</v>
      </c>
    </row>
    <row r="7" spans="1:5" ht="15.75" x14ac:dyDescent="0.25">
      <c r="A7" s="124" t="s">
        <v>86</v>
      </c>
      <c r="B7" s="126" t="e">
        <f>B6/B2</f>
        <v>#DIV/0!</v>
      </c>
      <c r="C7" s="126" t="e">
        <f>C6/C2</f>
        <v>#DIV/0!</v>
      </c>
      <c r="D7" s="126" t="e">
        <f>D6/D2</f>
        <v>#DIV/0!</v>
      </c>
      <c r="E7" s="126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Peter C</cp:lastModifiedBy>
  <dcterms:created xsi:type="dcterms:W3CDTF">2019-01-15T00:33:28Z</dcterms:created>
  <dcterms:modified xsi:type="dcterms:W3CDTF">2026-09-09T18:23:41Z</dcterms:modified>
</cp:coreProperties>
</file>